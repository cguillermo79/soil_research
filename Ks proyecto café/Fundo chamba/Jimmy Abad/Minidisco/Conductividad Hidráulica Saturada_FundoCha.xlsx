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my\OneDrive\Documentos\2023\UNL\UNL\2025 UNL_Primer_ Semestre\Proyecto cafe 2025\"/>
    </mc:Choice>
  </mc:AlternateContent>
  <xr:revisionPtr revIDLastSave="0" documentId="13_ncr:1_{4CB5F287-6E8A-4796-986B-924701E07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s" sheetId="1" r:id="rId1"/>
    <sheet name="Tabla_Valores_Tex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AM27" i="1"/>
  <c r="AM28" i="1" s="1"/>
  <c r="X5" i="1"/>
  <c r="AN10" i="1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4" i="1"/>
  <c r="H5" i="1"/>
  <c r="C2" i="1"/>
  <c r="D13" i="1"/>
  <c r="D19" i="1"/>
  <c r="D16" i="1"/>
  <c r="D15" i="1"/>
  <c r="D17" i="1"/>
  <c r="D18" i="1"/>
  <c r="D20" i="1"/>
  <c r="D21" i="1"/>
  <c r="D22" i="1"/>
  <c r="D23" i="1"/>
  <c r="D24" i="1"/>
  <c r="D6" i="1"/>
  <c r="D7" i="1"/>
  <c r="D8" i="1"/>
  <c r="D9" i="1"/>
  <c r="D10" i="1"/>
  <c r="D11" i="1"/>
  <c r="D12" i="1"/>
  <c r="D14" i="1"/>
  <c r="AM29" i="1" l="1"/>
  <c r="AN12" i="1"/>
  <c r="AO12" i="1" s="1"/>
  <c r="AP12" i="1" s="1"/>
  <c r="AN13" i="1"/>
  <c r="AO13" i="1" s="1"/>
  <c r="AP13" i="1" s="1"/>
  <c r="AN11" i="1"/>
  <c r="AO10" i="1"/>
  <c r="AP10" i="1" s="1"/>
  <c r="X6" i="1"/>
  <c r="D5" i="1"/>
  <c r="E5" i="1" s="1"/>
  <c r="T5" i="1" s="1"/>
  <c r="AO11" i="1" l="1"/>
  <c r="AP11" i="1" s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Q5" i="1" s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M5" i="1" s="1"/>
  <c r="I5" i="1"/>
  <c r="U5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6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Q6" i="1" l="1"/>
  <c r="Q7" i="1" s="1"/>
  <c r="Q8" i="1" s="1"/>
  <c r="Q9" i="1" s="1"/>
  <c r="Q10" i="1" s="1"/>
  <c r="Q11" i="1" s="1"/>
  <c r="Q12" i="1" s="1"/>
  <c r="W12" i="1" s="1"/>
  <c r="W5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V24" i="1" s="1"/>
  <c r="V5" i="1"/>
  <c r="T6" i="1"/>
  <c r="I6" i="1"/>
  <c r="U6" i="1" s="1"/>
  <c r="Q13" i="1" l="1"/>
  <c r="W13" i="1" s="1"/>
  <c r="W10" i="1"/>
  <c r="W8" i="1"/>
  <c r="W9" i="1"/>
  <c r="W11" i="1"/>
  <c r="W7" i="1"/>
  <c r="W6" i="1"/>
  <c r="V23" i="1"/>
  <c r="V16" i="1"/>
  <c r="V8" i="1"/>
  <c r="V7" i="1"/>
  <c r="V19" i="1"/>
  <c r="V12" i="1"/>
  <c r="V22" i="1"/>
  <c r="V14" i="1"/>
  <c r="V6" i="1"/>
  <c r="V17" i="1"/>
  <c r="V9" i="1"/>
  <c r="V21" i="1"/>
  <c r="V15" i="1"/>
  <c r="V13" i="1"/>
  <c r="V18" i="1"/>
  <c r="V11" i="1"/>
  <c r="V20" i="1"/>
  <c r="V10" i="1"/>
  <c r="T7" i="1"/>
  <c r="I7" i="1"/>
  <c r="U7" i="1" s="1"/>
  <c r="Q14" i="1" l="1"/>
  <c r="W14" i="1" s="1"/>
  <c r="V25" i="1"/>
  <c r="T8" i="1"/>
  <c r="I8" i="1"/>
  <c r="U8" i="1" s="1"/>
  <c r="Q15" i="1" l="1"/>
  <c r="W15" i="1" s="1"/>
  <c r="T9" i="1"/>
  <c r="I9" i="1"/>
  <c r="U9" i="1" s="1"/>
  <c r="Q16" i="1" l="1"/>
  <c r="W16" i="1" s="1"/>
  <c r="T10" i="1"/>
  <c r="I10" i="1"/>
  <c r="U10" i="1" s="1"/>
  <c r="Q17" i="1" l="1"/>
  <c r="W17" i="1" s="1"/>
  <c r="T11" i="1"/>
  <c r="I11" i="1"/>
  <c r="U11" i="1" s="1"/>
  <c r="Q18" i="1" l="1"/>
  <c r="W18" i="1" s="1"/>
  <c r="T12" i="1"/>
  <c r="I12" i="1"/>
  <c r="U12" i="1" s="1"/>
  <c r="Q19" i="1" l="1"/>
  <c r="W19" i="1" s="1"/>
  <c r="T13" i="1"/>
  <c r="I13" i="1"/>
  <c r="U13" i="1" s="1"/>
  <c r="Q20" i="1" l="1"/>
  <c r="W20" i="1" s="1"/>
  <c r="T14" i="1"/>
  <c r="I14" i="1"/>
  <c r="U14" i="1" s="1"/>
  <c r="Q21" i="1" l="1"/>
  <c r="W21" i="1" s="1"/>
  <c r="T15" i="1"/>
  <c r="I15" i="1"/>
  <c r="U15" i="1" s="1"/>
  <c r="Q22" i="1" l="1"/>
  <c r="W22" i="1" s="1"/>
  <c r="T16" i="1"/>
  <c r="I16" i="1"/>
  <c r="U16" i="1" s="1"/>
  <c r="Q23" i="1" l="1"/>
  <c r="W23" i="1" s="1"/>
  <c r="T17" i="1"/>
  <c r="I17" i="1"/>
  <c r="U17" i="1" s="1"/>
  <c r="Q24" i="1" l="1"/>
  <c r="W24" i="1" s="1"/>
  <c r="T18" i="1"/>
  <c r="W25" i="1"/>
  <c r="I18" i="1"/>
  <c r="U18" i="1" s="1"/>
  <c r="T19" i="1" l="1"/>
  <c r="I19" i="1"/>
  <c r="U19" i="1" s="1"/>
  <c r="T20" i="1" l="1"/>
  <c r="I20" i="1"/>
  <c r="U20" i="1" s="1"/>
  <c r="T21" i="1" l="1"/>
  <c r="I21" i="1"/>
  <c r="U21" i="1" s="1"/>
  <c r="T22" i="1" l="1"/>
  <c r="I22" i="1"/>
  <c r="U22" i="1" s="1"/>
  <c r="T24" i="1" l="1"/>
  <c r="T23" i="1"/>
  <c r="I23" i="1"/>
  <c r="U23" i="1" s="1"/>
  <c r="I24" i="1" l="1"/>
  <c r="T25" i="1"/>
  <c r="U24" i="1" l="1"/>
  <c r="U25" i="1" s="1"/>
</calcChain>
</file>

<file path=xl/sharedStrings.xml><?xml version="1.0" encoding="utf-8"?>
<sst xmlns="http://schemas.openxmlformats.org/spreadsheetml/2006/main" count="61" uniqueCount="48">
  <si>
    <t>Area disco (cm2) =</t>
  </si>
  <si>
    <t xml:space="preserve">Rep(cm3) </t>
  </si>
  <si>
    <t>Tiempo Acum (s)</t>
  </si>
  <si>
    <t>Infiltración Acumulada</t>
  </si>
  <si>
    <t>Raíz tiempo</t>
  </si>
  <si>
    <t>Lam_Inf(cm3)</t>
  </si>
  <si>
    <t>Lam_Inf_acum(cm3)</t>
  </si>
  <si>
    <t>X´2</t>
  </si>
  <si>
    <t>cm/seg</t>
  </si>
  <si>
    <t>Textura</t>
  </si>
  <si>
    <t>Fanco</t>
  </si>
  <si>
    <t>Tensión (cm3)</t>
  </si>
  <si>
    <t>cm/min</t>
  </si>
  <si>
    <t>cm/hr</t>
  </si>
  <si>
    <t>KS</t>
  </si>
  <si>
    <t xml:space="preserve">Tensión </t>
  </si>
  <si>
    <t>Ks</t>
  </si>
  <si>
    <t>m/día</t>
  </si>
  <si>
    <t>Total</t>
  </si>
  <si>
    <t>Radio minidisco (cm)</t>
  </si>
  <si>
    <t>Lámina (cm3) Tratamiento 1 (-0.5 cm)</t>
  </si>
  <si>
    <t>Lámina (cm3) - Tratamiento 1 (-1 cm)</t>
  </si>
  <si>
    <t>Lámina (cm3) - Tratamiento 1 (-2 cm)</t>
  </si>
  <si>
    <t>Lámina (cm3) - Tratamiento 1 (-3cm)</t>
  </si>
  <si>
    <t>-1 cm</t>
  </si>
  <si>
    <t>-2 cm</t>
  </si>
  <si>
    <t>-3 cm</t>
  </si>
  <si>
    <t>-0.5 cm</t>
  </si>
  <si>
    <t>radius</t>
  </si>
  <si>
    <t>A</t>
  </si>
  <si>
    <t>alpha</t>
  </si>
  <si>
    <t>n     /    ho</t>
  </si>
  <si>
    <t>sand</t>
  </si>
  <si>
    <t>loamy sand</t>
  </si>
  <si>
    <t>sandy loam</t>
  </si>
  <si>
    <t>loam</t>
  </si>
  <si>
    <t>silt</t>
  </si>
  <si>
    <t>silt loam</t>
  </si>
  <si>
    <t>sandy clay loam</t>
  </si>
  <si>
    <t>clay loam</t>
  </si>
  <si>
    <t>silty clay loam</t>
  </si>
  <si>
    <t>sandy clay</t>
  </si>
  <si>
    <t>silty clay</t>
  </si>
  <si>
    <t>clay</t>
  </si>
  <si>
    <t xml:space="preserve"> Conductividad hidráulica no saturada (Kns)</t>
  </si>
  <si>
    <t>Conductividad hidráulica saturada (Ks)</t>
  </si>
  <si>
    <t>mm/hr</t>
  </si>
  <si>
    <r>
      <t xml:space="preserve">Valores obtenidos de la </t>
    </r>
    <r>
      <rPr>
        <b/>
        <sz val="11"/>
        <color theme="1"/>
        <rFont val="Calibri"/>
        <family val="2"/>
        <scheme val="minor"/>
      </rPr>
      <t>"Tabla_Valores_Textura"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</si>
</sst>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4" fillId="2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1" fontId="5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kns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6914213490544179E-2"/>
          <c:y val="0.12572573449062815"/>
          <c:w val="0.89147658784755601"/>
          <c:h val="0.79107855174285091"/>
        </c:manualLayout>
      </c:layout>
      <c:scatterChart>
        <c:scatterStyle val="lineMarker"/>
        <c:varyColors val="0"/>
        <c:ser>
          <c:idx val="0"/>
          <c:order val="0"/>
          <c:tx>
            <c:v>KNS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086709670062095E-2"/>
                  <c:y val="-0.395961542039883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Kns!$AL$10:$AL$13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Kns!$AP$10:$AP$13</c:f>
              <c:numCache>
                <c:formatCode>General</c:formatCode>
                <c:ptCount val="4"/>
                <c:pt idx="0">
                  <c:v>2.5999066302825891</c:v>
                </c:pt>
                <c:pt idx="1">
                  <c:v>2.7777907136629008</c:v>
                </c:pt>
                <c:pt idx="2">
                  <c:v>1.5652520523423694</c:v>
                </c:pt>
                <c:pt idx="3">
                  <c:v>1.2818006566725837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0-41B4-AABC-C87831733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74863"/>
        <c:axId val="972276783"/>
      </c:scatterChart>
      <c:valAx>
        <c:axId val="97227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Tensión (cm)</a:t>
                </a:r>
                <a:r>
                  <a:rPr lang="es-ES" baseline="0"/>
                  <a:t> 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276783"/>
        <c:crosses val="autoZero"/>
        <c:crossBetween val="midCat"/>
      </c:valAx>
      <c:valAx>
        <c:axId val="972276783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Kns</a:t>
                </a:r>
                <a:r>
                  <a:rPr lang="es-ES" baseline="0"/>
                  <a:t> (cm/hr)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2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Infiltración</a:t>
            </a:r>
            <a:r>
              <a:rPr lang="es-ES" baseline="0"/>
              <a:t> Acumulada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Kns!$T$3</c:f>
              <c:strCache>
                <c:ptCount val="1"/>
                <c:pt idx="0">
                  <c:v>-0.5 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7365840135634705"/>
                  <c:y val="-4.235157888664077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-0.5 = -0.0028x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+ 0.2696x - 1.2925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Kns!$X$5:$X$24</c:f>
              <c:numCache>
                <c:formatCode>General</c:formatCode>
                <c:ptCount val="20"/>
                <c:pt idx="0">
                  <c:v>5.4772255750516612</c:v>
                </c:pt>
                <c:pt idx="1">
                  <c:v>7.745966692414834</c:v>
                </c:pt>
                <c:pt idx="2">
                  <c:v>9.4868329805051381</c:v>
                </c:pt>
                <c:pt idx="3">
                  <c:v>10.954451150103322</c:v>
                </c:pt>
                <c:pt idx="4">
                  <c:v>12.24744871391589</c:v>
                </c:pt>
                <c:pt idx="5">
                  <c:v>13.416407864998739</c:v>
                </c:pt>
                <c:pt idx="6">
                  <c:v>14.491376746189438</c:v>
                </c:pt>
                <c:pt idx="7">
                  <c:v>15.491933384829668</c:v>
                </c:pt>
                <c:pt idx="8">
                  <c:v>16.431676725154983</c:v>
                </c:pt>
                <c:pt idx="9">
                  <c:v>17.320508075688775</c:v>
                </c:pt>
                <c:pt idx="10">
                  <c:v>18.165902124584949</c:v>
                </c:pt>
                <c:pt idx="11">
                  <c:v>18.973665961010276</c:v>
                </c:pt>
                <c:pt idx="12">
                  <c:v>19.748417658131498</c:v>
                </c:pt>
                <c:pt idx="13">
                  <c:v>20.493901531919196</c:v>
                </c:pt>
                <c:pt idx="14">
                  <c:v>21.213203435596427</c:v>
                </c:pt>
                <c:pt idx="15">
                  <c:v>21.908902300206645</c:v>
                </c:pt>
                <c:pt idx="16">
                  <c:v>22.583179581272429</c:v>
                </c:pt>
                <c:pt idx="17">
                  <c:v>23.2379000772445</c:v>
                </c:pt>
                <c:pt idx="18">
                  <c:v>23.874672772626646</c:v>
                </c:pt>
                <c:pt idx="19">
                  <c:v>24.494897427831781</c:v>
                </c:pt>
              </c:numCache>
            </c:numRef>
          </c:xVal>
          <c:yVal>
            <c:numRef>
              <c:f>Kns!$T$5:$T$24</c:f>
              <c:numCache>
                <c:formatCode>General</c:formatCode>
                <c:ptCount val="20"/>
                <c:pt idx="0">
                  <c:v>0.2515035194773757</c:v>
                </c:pt>
                <c:pt idx="1">
                  <c:v>0.56588291882409536</c:v>
                </c:pt>
                <c:pt idx="2">
                  <c:v>0.88026231817081491</c:v>
                </c:pt>
                <c:pt idx="3">
                  <c:v>1.1946417175175346</c:v>
                </c:pt>
                <c:pt idx="4">
                  <c:v>1.5090211168642542</c:v>
                </c:pt>
                <c:pt idx="5">
                  <c:v>1.7605246363416298</c:v>
                </c:pt>
                <c:pt idx="6">
                  <c:v>2.0749040356883497</c:v>
                </c:pt>
                <c:pt idx="7">
                  <c:v>2.3892834350350691</c:v>
                </c:pt>
                <c:pt idx="8">
                  <c:v>2.5150351947737568</c:v>
                </c:pt>
                <c:pt idx="9">
                  <c:v>2.5779110746431009</c:v>
                </c:pt>
                <c:pt idx="10">
                  <c:v>2.703662834381789</c:v>
                </c:pt>
                <c:pt idx="11">
                  <c:v>2.8294145941204767</c:v>
                </c:pt>
                <c:pt idx="12">
                  <c:v>2.8922904739898208</c:v>
                </c:pt>
                <c:pt idx="13">
                  <c:v>2.9551663538591644</c:v>
                </c:pt>
                <c:pt idx="14">
                  <c:v>3.0809181135978525</c:v>
                </c:pt>
                <c:pt idx="15">
                  <c:v>3.2066698733365402</c:v>
                </c:pt>
                <c:pt idx="16">
                  <c:v>3.3324216330752279</c:v>
                </c:pt>
                <c:pt idx="17">
                  <c:v>3.458173392813916</c:v>
                </c:pt>
                <c:pt idx="18">
                  <c:v>3.5210492726832596</c:v>
                </c:pt>
                <c:pt idx="19">
                  <c:v>3.6468010324219478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7-49F1-8473-4734E36979D0}"/>
            </c:ext>
          </c:extLst>
        </c:ser>
        <c:ser>
          <c:idx val="1"/>
          <c:order val="1"/>
          <c:tx>
            <c:strRef>
              <c:f>Kns!$U$3</c:f>
              <c:strCache>
                <c:ptCount val="1"/>
                <c:pt idx="0">
                  <c:v>-1 cm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8470356953898737"/>
                  <c:y val="-0.3317518883591364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-1 = 0.003x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- 0.0043x + 0.0785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Kns!$X$5:$X$24</c:f>
              <c:numCache>
                <c:formatCode>General</c:formatCode>
                <c:ptCount val="20"/>
                <c:pt idx="0">
                  <c:v>5.4772255750516612</c:v>
                </c:pt>
                <c:pt idx="1">
                  <c:v>7.745966692414834</c:v>
                </c:pt>
                <c:pt idx="2">
                  <c:v>9.4868329805051381</c:v>
                </c:pt>
                <c:pt idx="3">
                  <c:v>10.954451150103322</c:v>
                </c:pt>
                <c:pt idx="4">
                  <c:v>12.24744871391589</c:v>
                </c:pt>
                <c:pt idx="5">
                  <c:v>13.416407864998739</c:v>
                </c:pt>
                <c:pt idx="6">
                  <c:v>14.491376746189438</c:v>
                </c:pt>
                <c:pt idx="7">
                  <c:v>15.491933384829668</c:v>
                </c:pt>
                <c:pt idx="8">
                  <c:v>16.431676725154983</c:v>
                </c:pt>
                <c:pt idx="9">
                  <c:v>17.320508075688775</c:v>
                </c:pt>
                <c:pt idx="10">
                  <c:v>18.165902124584949</c:v>
                </c:pt>
                <c:pt idx="11">
                  <c:v>18.973665961010276</c:v>
                </c:pt>
                <c:pt idx="12">
                  <c:v>19.748417658131498</c:v>
                </c:pt>
                <c:pt idx="13">
                  <c:v>20.493901531919196</c:v>
                </c:pt>
                <c:pt idx="14">
                  <c:v>21.213203435596427</c:v>
                </c:pt>
                <c:pt idx="15">
                  <c:v>21.908902300206645</c:v>
                </c:pt>
                <c:pt idx="16">
                  <c:v>22.583179581272429</c:v>
                </c:pt>
                <c:pt idx="17">
                  <c:v>23.2379000772445</c:v>
                </c:pt>
                <c:pt idx="18">
                  <c:v>23.874672772626646</c:v>
                </c:pt>
                <c:pt idx="19">
                  <c:v>24.494897427831781</c:v>
                </c:pt>
              </c:numCache>
            </c:numRef>
          </c:xVal>
          <c:yVal>
            <c:numRef>
              <c:f>Kns!$U$5:$U$24</c:f>
              <c:numCache>
                <c:formatCode>General</c:formatCode>
                <c:ptCount val="20"/>
                <c:pt idx="0">
                  <c:v>0.12575175973868785</c:v>
                </c:pt>
                <c:pt idx="1">
                  <c:v>0.2515035194773757</c:v>
                </c:pt>
                <c:pt idx="2">
                  <c:v>0.3143793993467196</c:v>
                </c:pt>
                <c:pt idx="3">
                  <c:v>0.37725527921606355</c:v>
                </c:pt>
                <c:pt idx="4">
                  <c:v>0.50300703895475141</c:v>
                </c:pt>
                <c:pt idx="5">
                  <c:v>0.56588291882409536</c:v>
                </c:pt>
                <c:pt idx="6">
                  <c:v>0.69163467856278316</c:v>
                </c:pt>
                <c:pt idx="7">
                  <c:v>0.75451055843212711</c:v>
                </c:pt>
                <c:pt idx="8">
                  <c:v>0.81738643830147106</c:v>
                </c:pt>
                <c:pt idx="9">
                  <c:v>0.88026231817081491</c:v>
                </c:pt>
                <c:pt idx="10">
                  <c:v>1.0060140779095028</c:v>
                </c:pt>
                <c:pt idx="11">
                  <c:v>1.0688899577788467</c:v>
                </c:pt>
                <c:pt idx="12">
                  <c:v>1.1946417175175346</c:v>
                </c:pt>
                <c:pt idx="13">
                  <c:v>1.2575175973868784</c:v>
                </c:pt>
                <c:pt idx="14">
                  <c:v>1.3832693571255663</c:v>
                </c:pt>
                <c:pt idx="15">
                  <c:v>1.4461452369949104</c:v>
                </c:pt>
                <c:pt idx="16">
                  <c:v>1.5090211168642542</c:v>
                </c:pt>
                <c:pt idx="17">
                  <c:v>1.6347728766029421</c:v>
                </c:pt>
                <c:pt idx="18">
                  <c:v>1.697648756472286</c:v>
                </c:pt>
                <c:pt idx="19">
                  <c:v>1.8234005162109739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7-49F1-8473-4734E36979D0}"/>
            </c:ext>
          </c:extLst>
        </c:ser>
        <c:ser>
          <c:idx val="2"/>
          <c:order val="2"/>
          <c:tx>
            <c:strRef>
              <c:f>Kns!$V$3</c:f>
              <c:strCache>
                <c:ptCount val="1"/>
                <c:pt idx="0">
                  <c:v>-2 cm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7542956343001645"/>
                  <c:y val="-0.4246505556906264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-2 = 0.0017x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- 0.0044x + 0.1178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Kns!$X$5:$X$24</c:f>
              <c:numCache>
                <c:formatCode>General</c:formatCode>
                <c:ptCount val="20"/>
                <c:pt idx="0">
                  <c:v>5.4772255750516612</c:v>
                </c:pt>
                <c:pt idx="1">
                  <c:v>7.745966692414834</c:v>
                </c:pt>
                <c:pt idx="2">
                  <c:v>9.4868329805051381</c:v>
                </c:pt>
                <c:pt idx="3">
                  <c:v>10.954451150103322</c:v>
                </c:pt>
                <c:pt idx="4">
                  <c:v>12.24744871391589</c:v>
                </c:pt>
                <c:pt idx="5">
                  <c:v>13.416407864998739</c:v>
                </c:pt>
                <c:pt idx="6">
                  <c:v>14.491376746189438</c:v>
                </c:pt>
                <c:pt idx="7">
                  <c:v>15.491933384829668</c:v>
                </c:pt>
                <c:pt idx="8">
                  <c:v>16.431676725154983</c:v>
                </c:pt>
                <c:pt idx="9">
                  <c:v>17.320508075688775</c:v>
                </c:pt>
                <c:pt idx="10">
                  <c:v>18.165902124584949</c:v>
                </c:pt>
                <c:pt idx="11">
                  <c:v>18.973665961010276</c:v>
                </c:pt>
                <c:pt idx="12">
                  <c:v>19.748417658131498</c:v>
                </c:pt>
                <c:pt idx="13">
                  <c:v>20.493901531919196</c:v>
                </c:pt>
                <c:pt idx="14">
                  <c:v>21.213203435596427</c:v>
                </c:pt>
                <c:pt idx="15">
                  <c:v>21.908902300206645</c:v>
                </c:pt>
                <c:pt idx="16">
                  <c:v>22.583179581272429</c:v>
                </c:pt>
                <c:pt idx="17">
                  <c:v>23.2379000772445</c:v>
                </c:pt>
                <c:pt idx="18">
                  <c:v>23.874672772626646</c:v>
                </c:pt>
                <c:pt idx="19">
                  <c:v>24.494897427831781</c:v>
                </c:pt>
              </c:numCache>
            </c:numRef>
          </c:xVal>
          <c:yVal>
            <c:numRef>
              <c:f>Kns!$V$5:$V$24</c:f>
              <c:numCache>
                <c:formatCode>General</c:formatCode>
                <c:ptCount val="20"/>
                <c:pt idx="0">
                  <c:v>0.12575175973868785</c:v>
                </c:pt>
                <c:pt idx="1">
                  <c:v>0.18862763960803178</c:v>
                </c:pt>
                <c:pt idx="2">
                  <c:v>0.2515035194773757</c:v>
                </c:pt>
                <c:pt idx="3">
                  <c:v>0.28294145941204768</c:v>
                </c:pt>
                <c:pt idx="4">
                  <c:v>0.3143793993467196</c:v>
                </c:pt>
                <c:pt idx="5">
                  <c:v>0.34581733928139158</c:v>
                </c:pt>
                <c:pt idx="6">
                  <c:v>0.37725527921606355</c:v>
                </c:pt>
                <c:pt idx="7">
                  <c:v>0.44013115908540745</c:v>
                </c:pt>
                <c:pt idx="8">
                  <c:v>0.50300703895475141</c:v>
                </c:pt>
                <c:pt idx="9">
                  <c:v>0.56588291882409536</c:v>
                </c:pt>
                <c:pt idx="10">
                  <c:v>0.59732085875876728</c:v>
                </c:pt>
                <c:pt idx="11">
                  <c:v>0.6287587986934392</c:v>
                </c:pt>
                <c:pt idx="12">
                  <c:v>0.66019673862811123</c:v>
                </c:pt>
                <c:pt idx="13">
                  <c:v>0.72307261849745519</c:v>
                </c:pt>
                <c:pt idx="14">
                  <c:v>0.75451055843212711</c:v>
                </c:pt>
                <c:pt idx="15">
                  <c:v>0.81738643830147106</c:v>
                </c:pt>
                <c:pt idx="16">
                  <c:v>0.88026231817081491</c:v>
                </c:pt>
                <c:pt idx="17">
                  <c:v>0.91170025810548694</c:v>
                </c:pt>
                <c:pt idx="18">
                  <c:v>0.97457613797483089</c:v>
                </c:pt>
                <c:pt idx="19">
                  <c:v>1.0060140779095028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7-49F1-8473-4734E36979D0}"/>
            </c:ext>
          </c:extLst>
        </c:ser>
        <c:ser>
          <c:idx val="3"/>
          <c:order val="3"/>
          <c:tx>
            <c:strRef>
              <c:f>Kns!$W$3</c:f>
              <c:strCache>
                <c:ptCount val="1"/>
                <c:pt idx="0">
                  <c:v>-3 cm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8771985280321304"/>
                  <c:y val="-0.426650691677209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-3 = 0.0014x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- 0.0009x - 0.0209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Kns!$X$5:$X$24</c:f>
              <c:numCache>
                <c:formatCode>General</c:formatCode>
                <c:ptCount val="20"/>
                <c:pt idx="0">
                  <c:v>5.4772255750516612</c:v>
                </c:pt>
                <c:pt idx="1">
                  <c:v>7.745966692414834</c:v>
                </c:pt>
                <c:pt idx="2">
                  <c:v>9.4868329805051381</c:v>
                </c:pt>
                <c:pt idx="3">
                  <c:v>10.954451150103322</c:v>
                </c:pt>
                <c:pt idx="4">
                  <c:v>12.24744871391589</c:v>
                </c:pt>
                <c:pt idx="5">
                  <c:v>13.416407864998739</c:v>
                </c:pt>
                <c:pt idx="6">
                  <c:v>14.491376746189438</c:v>
                </c:pt>
                <c:pt idx="7">
                  <c:v>15.491933384829668</c:v>
                </c:pt>
                <c:pt idx="8">
                  <c:v>16.431676725154983</c:v>
                </c:pt>
                <c:pt idx="9">
                  <c:v>17.320508075688775</c:v>
                </c:pt>
                <c:pt idx="10">
                  <c:v>18.165902124584949</c:v>
                </c:pt>
                <c:pt idx="11">
                  <c:v>18.973665961010276</c:v>
                </c:pt>
                <c:pt idx="12">
                  <c:v>19.748417658131498</c:v>
                </c:pt>
                <c:pt idx="13">
                  <c:v>20.493901531919196</c:v>
                </c:pt>
                <c:pt idx="14">
                  <c:v>21.213203435596427</c:v>
                </c:pt>
                <c:pt idx="15">
                  <c:v>21.908902300206645</c:v>
                </c:pt>
                <c:pt idx="16">
                  <c:v>22.583179581272429</c:v>
                </c:pt>
                <c:pt idx="17">
                  <c:v>23.2379000772445</c:v>
                </c:pt>
                <c:pt idx="18">
                  <c:v>23.874672772626646</c:v>
                </c:pt>
                <c:pt idx="19">
                  <c:v>24.494897427831781</c:v>
                </c:pt>
              </c:numCache>
            </c:numRef>
          </c:xVal>
          <c:yVal>
            <c:numRef>
              <c:f>Kns!$W$5:$W$24</c:f>
              <c:numCache>
                <c:formatCode>General</c:formatCode>
                <c:ptCount val="20"/>
                <c:pt idx="0">
                  <c:v>3.1437939934671963E-2</c:v>
                </c:pt>
                <c:pt idx="1">
                  <c:v>6.2875879869343926E-2</c:v>
                </c:pt>
                <c:pt idx="2">
                  <c:v>9.4313819804015889E-2</c:v>
                </c:pt>
                <c:pt idx="3">
                  <c:v>0.12575175973868785</c:v>
                </c:pt>
                <c:pt idx="4">
                  <c:v>0.1571896996733598</c:v>
                </c:pt>
                <c:pt idx="5">
                  <c:v>0.18862763960803178</c:v>
                </c:pt>
                <c:pt idx="6">
                  <c:v>0.2515035194773757</c:v>
                </c:pt>
                <c:pt idx="7">
                  <c:v>0.28294145941204768</c:v>
                </c:pt>
                <c:pt idx="8">
                  <c:v>0.3143793993467196</c:v>
                </c:pt>
                <c:pt idx="9">
                  <c:v>0.37725527921606355</c:v>
                </c:pt>
                <c:pt idx="10">
                  <c:v>0.40869321915073553</c:v>
                </c:pt>
                <c:pt idx="11">
                  <c:v>0.50300703895475141</c:v>
                </c:pt>
                <c:pt idx="12">
                  <c:v>0.53444497888942333</c:v>
                </c:pt>
                <c:pt idx="13">
                  <c:v>0.56588291882409536</c:v>
                </c:pt>
                <c:pt idx="14">
                  <c:v>0.59732085875876728</c:v>
                </c:pt>
                <c:pt idx="15">
                  <c:v>0.6287587986934392</c:v>
                </c:pt>
                <c:pt idx="16">
                  <c:v>0.66019673862811123</c:v>
                </c:pt>
                <c:pt idx="17">
                  <c:v>0.69163467856278316</c:v>
                </c:pt>
                <c:pt idx="18">
                  <c:v>0.72307261849745519</c:v>
                </c:pt>
                <c:pt idx="19">
                  <c:v>0.75451055843212711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7-49F1-8473-4734E369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90895"/>
        <c:axId val="995479375"/>
      </c:scatterChart>
      <c:valAx>
        <c:axId val="99549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(s)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5479375"/>
        <c:crosses val="autoZero"/>
        <c:crossBetween val="midCat"/>
      </c:valAx>
      <c:valAx>
        <c:axId val="9954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Infil_Acum(cm3)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549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576943</xdr:colOff>
      <xdr:row>6</xdr:row>
      <xdr:rowOff>0</xdr:rowOff>
    </xdr:from>
    <xdr:to>
      <xdr:col>53</xdr:col>
      <xdr:colOff>500742</xdr:colOff>
      <xdr:row>27</xdr:row>
      <xdr:rowOff>65314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850A5D-B61F-19C4-08AB-28F29FB52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365166</xdr:colOff>
      <xdr:row>0</xdr:row>
      <xdr:rowOff>17316</xdr:rowOff>
    </xdr:from>
    <xdr:to>
      <xdr:col>36</xdr:col>
      <xdr:colOff>195943</xdr:colOff>
      <xdr:row>24</xdr:row>
      <xdr:rowOff>130629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8EBF810-52FD-A961-E594-B2BA7D37A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"/>
  <sheetViews>
    <sheetView tabSelected="1" topLeftCell="Q1" zoomScale="70" zoomScaleNormal="70" workbookViewId="0">
      <selection activeCell="AD29" sqref="AD29"/>
    </sheetView>
  </sheetViews>
  <sheetFormatPr baseColWidth="10" defaultColWidth="8.88671875" defaultRowHeight="14.4" x14ac:dyDescent="0.3"/>
  <cols>
    <col min="1" max="1" width="17" style="2" customWidth="1"/>
    <col min="2" max="2" width="37.77734375" customWidth="1"/>
    <col min="3" max="3" width="9.88671875" style="2" customWidth="1"/>
    <col min="4" max="4" width="16.21875" style="2" customWidth="1"/>
    <col min="5" max="5" width="20.88671875" style="2" customWidth="1"/>
    <col min="6" max="6" width="33.21875" style="2" customWidth="1"/>
    <col min="7" max="7" width="11" customWidth="1"/>
    <col min="8" max="8" width="19.109375" customWidth="1"/>
    <col min="9" max="9" width="26.5546875" customWidth="1"/>
    <col min="10" max="10" width="32.33203125" style="2" customWidth="1"/>
    <col min="11" max="11" width="12.77734375" customWidth="1"/>
    <col min="12" max="12" width="16.5546875" customWidth="1"/>
    <col min="13" max="13" width="25" customWidth="1"/>
    <col min="14" max="14" width="33.6640625" style="2" customWidth="1"/>
    <col min="15" max="15" width="11.88671875" customWidth="1"/>
    <col min="16" max="16" width="18" customWidth="1"/>
    <col min="17" max="17" width="23.33203125" customWidth="1"/>
    <col min="18" max="18" width="11.88671875" customWidth="1"/>
    <col min="19" max="19" width="20.77734375" customWidth="1"/>
    <col min="20" max="20" width="11.5546875" customWidth="1"/>
    <col min="21" max="21" width="13.21875" customWidth="1"/>
    <col min="22" max="22" width="11.109375" customWidth="1"/>
    <col min="23" max="23" width="10.44140625" bestFit="1" customWidth="1"/>
    <col min="24" max="24" width="11.44140625" customWidth="1"/>
    <col min="38" max="38" width="12.5546875" customWidth="1"/>
    <col min="39" max="39" width="15.109375" customWidth="1"/>
    <col min="40" max="40" width="16.109375" customWidth="1"/>
    <col min="41" max="41" width="12.109375" customWidth="1"/>
    <col min="42" max="42" width="19.5546875" customWidth="1"/>
  </cols>
  <sheetData>
    <row r="1" spans="1:42" x14ac:dyDescent="0.3">
      <c r="B1" s="4" t="s">
        <v>19</v>
      </c>
      <c r="C1" s="4">
        <v>2.25</v>
      </c>
    </row>
    <row r="2" spans="1:42" x14ac:dyDescent="0.3">
      <c r="B2" s="23" t="s">
        <v>0</v>
      </c>
      <c r="C2" s="23">
        <f>3.1416*(C1^2)</f>
        <v>15.904349999999999</v>
      </c>
      <c r="E2" s="29"/>
      <c r="U2" s="24" t="s">
        <v>3</v>
      </c>
      <c r="V2" s="24"/>
    </row>
    <row r="3" spans="1:42" x14ac:dyDescent="0.3">
      <c r="A3" s="1" t="s">
        <v>2</v>
      </c>
      <c r="B3" s="11" t="s">
        <v>20</v>
      </c>
      <c r="C3" s="6" t="s">
        <v>1</v>
      </c>
      <c r="D3" s="6" t="s">
        <v>5</v>
      </c>
      <c r="E3" s="28" t="s">
        <v>6</v>
      </c>
      <c r="F3" s="7" t="s">
        <v>21</v>
      </c>
      <c r="G3" s="7" t="s">
        <v>1</v>
      </c>
      <c r="H3" s="7" t="s">
        <v>5</v>
      </c>
      <c r="I3" s="7" t="s">
        <v>6</v>
      </c>
      <c r="J3" s="8" t="s">
        <v>22</v>
      </c>
      <c r="K3" s="8" t="s">
        <v>1</v>
      </c>
      <c r="L3" s="8" t="s">
        <v>5</v>
      </c>
      <c r="M3" s="8" t="s">
        <v>6</v>
      </c>
      <c r="N3" s="9" t="s">
        <v>23</v>
      </c>
      <c r="O3" s="9" t="s">
        <v>1</v>
      </c>
      <c r="P3" s="9" t="s">
        <v>5</v>
      </c>
      <c r="Q3" s="9" t="s">
        <v>6</v>
      </c>
      <c r="R3" s="3"/>
      <c r="S3" s="1" t="s">
        <v>2</v>
      </c>
      <c r="T3" s="39" t="s">
        <v>27</v>
      </c>
      <c r="U3" s="39" t="s">
        <v>24</v>
      </c>
      <c r="V3" s="39" t="s">
        <v>25</v>
      </c>
      <c r="W3" s="39" t="s">
        <v>26</v>
      </c>
      <c r="X3" s="25" t="s">
        <v>4</v>
      </c>
    </row>
    <row r="4" spans="1:42" x14ac:dyDescent="0.3">
      <c r="A4" s="1">
        <v>0</v>
      </c>
      <c r="B4" s="32">
        <v>85</v>
      </c>
      <c r="C4" s="11"/>
      <c r="D4" s="22"/>
      <c r="E4" s="33"/>
      <c r="F4" s="34">
        <v>88</v>
      </c>
      <c r="G4" s="13"/>
      <c r="H4" s="7"/>
      <c r="I4" s="7"/>
      <c r="J4" s="35">
        <v>90</v>
      </c>
      <c r="K4" s="16"/>
      <c r="L4" s="8"/>
      <c r="M4" s="8"/>
      <c r="N4" s="18">
        <v>73</v>
      </c>
      <c r="O4" s="18"/>
      <c r="P4" s="9"/>
      <c r="Q4" s="9"/>
      <c r="R4" s="3"/>
      <c r="S4" s="38">
        <f>A4</f>
        <v>0</v>
      </c>
      <c r="T4" s="4"/>
      <c r="U4" s="4"/>
      <c r="V4" s="4"/>
      <c r="W4" s="4"/>
      <c r="X4" s="5"/>
    </row>
    <row r="5" spans="1:42" x14ac:dyDescent="0.3">
      <c r="A5" s="4">
        <v>30</v>
      </c>
      <c r="B5" s="32">
        <v>81</v>
      </c>
      <c r="C5" s="12"/>
      <c r="D5" s="30">
        <f>B4-B5</f>
        <v>4</v>
      </c>
      <c r="E5" s="30">
        <f>D5</f>
        <v>4</v>
      </c>
      <c r="F5" s="14">
        <v>86</v>
      </c>
      <c r="G5" s="15"/>
      <c r="H5" s="10">
        <f>F4-F5</f>
        <v>2</v>
      </c>
      <c r="I5" s="10">
        <f>H5</f>
        <v>2</v>
      </c>
      <c r="J5" s="17">
        <v>88</v>
      </c>
      <c r="K5" s="20"/>
      <c r="L5" s="36">
        <f>J4-J5</f>
        <v>2</v>
      </c>
      <c r="M5" s="36">
        <f>L5</f>
        <v>2</v>
      </c>
      <c r="N5" s="19">
        <v>72.5</v>
      </c>
      <c r="O5" s="21"/>
      <c r="P5" s="37">
        <f>N4-N5</f>
        <v>0.5</v>
      </c>
      <c r="Q5" s="37">
        <f>P5</f>
        <v>0.5</v>
      </c>
      <c r="S5" s="38">
        <f t="shared" ref="S5:S24" si="0">A5</f>
        <v>30</v>
      </c>
      <c r="T5" s="4">
        <f>E5/$C$2</f>
        <v>0.2515035194773757</v>
      </c>
      <c r="U5" s="4">
        <f>I5/$C$2</f>
        <v>0.12575175973868785</v>
      </c>
      <c r="V5" s="4">
        <f>M5/$C$2</f>
        <v>0.12575175973868785</v>
      </c>
      <c r="W5" s="4">
        <f>Q5/$C$2</f>
        <v>3.1437939934671963E-2</v>
      </c>
      <c r="X5" s="5">
        <f>SQRT(S5)</f>
        <v>5.4772255750516612</v>
      </c>
    </row>
    <row r="6" spans="1:42" x14ac:dyDescent="0.3">
      <c r="A6" s="4">
        <v>60</v>
      </c>
      <c r="B6" s="32">
        <v>76</v>
      </c>
      <c r="C6" s="12"/>
      <c r="D6" s="30">
        <f t="shared" ref="D6:D24" si="1">B5-B6</f>
        <v>5</v>
      </c>
      <c r="E6" s="30">
        <f>E5+D6</f>
        <v>9</v>
      </c>
      <c r="F6" s="14">
        <v>84</v>
      </c>
      <c r="G6" s="15"/>
      <c r="H6" s="10">
        <f>F5-F6</f>
        <v>2</v>
      </c>
      <c r="I6" s="10">
        <f>I5+H6</f>
        <v>4</v>
      </c>
      <c r="J6" s="17">
        <v>87</v>
      </c>
      <c r="K6" s="20"/>
      <c r="L6" s="36">
        <f>J5-J6</f>
        <v>1</v>
      </c>
      <c r="M6" s="36">
        <f>M5+L6</f>
        <v>3</v>
      </c>
      <c r="N6" s="19">
        <v>72</v>
      </c>
      <c r="O6" s="21"/>
      <c r="P6" s="37">
        <f>N5-N6</f>
        <v>0.5</v>
      </c>
      <c r="Q6" s="37">
        <f>Q5+P6</f>
        <v>1</v>
      </c>
      <c r="S6" s="38">
        <f t="shared" si="0"/>
        <v>60</v>
      </c>
      <c r="T6" s="4">
        <f t="shared" ref="T6:T24" si="2">E6/$C$2</f>
        <v>0.56588291882409536</v>
      </c>
      <c r="U6" s="4">
        <f t="shared" ref="U6:U24" si="3">I6/$C$2</f>
        <v>0.2515035194773757</v>
      </c>
      <c r="V6" s="4">
        <f t="shared" ref="V6:V24" si="4">M6/$C$2</f>
        <v>0.18862763960803178</v>
      </c>
      <c r="W6" s="4">
        <f t="shared" ref="W6:W24" si="5">Q6/$C$2</f>
        <v>6.2875879869343926E-2</v>
      </c>
      <c r="X6" s="5">
        <f>SQRT(S6)</f>
        <v>7.745966692414834</v>
      </c>
    </row>
    <row r="7" spans="1:42" x14ac:dyDescent="0.3">
      <c r="A7" s="4">
        <v>90</v>
      </c>
      <c r="B7" s="32">
        <v>71</v>
      </c>
      <c r="C7" s="12"/>
      <c r="D7" s="30">
        <f t="shared" si="1"/>
        <v>5</v>
      </c>
      <c r="E7" s="30">
        <f t="shared" ref="E7:E23" si="6">E6+D7</f>
        <v>14</v>
      </c>
      <c r="F7" s="14">
        <v>83</v>
      </c>
      <c r="G7" s="15"/>
      <c r="H7" s="10">
        <f t="shared" ref="H7:H24" si="7">F6-F7</f>
        <v>1</v>
      </c>
      <c r="I7" s="10">
        <f t="shared" ref="I7:I24" si="8">I6+H7</f>
        <v>5</v>
      </c>
      <c r="J7" s="17">
        <v>86</v>
      </c>
      <c r="K7" s="20"/>
      <c r="L7" s="36">
        <f t="shared" ref="L7:L24" si="9">J6-J7</f>
        <v>1</v>
      </c>
      <c r="M7" s="36">
        <f t="shared" ref="M7:M24" si="10">M6+L7</f>
        <v>4</v>
      </c>
      <c r="N7" s="19">
        <v>71.5</v>
      </c>
      <c r="O7" s="21"/>
      <c r="P7" s="37">
        <f t="shared" ref="P7:P24" si="11">N6-N7</f>
        <v>0.5</v>
      </c>
      <c r="Q7" s="37">
        <f t="shared" ref="Q7:Q24" si="12">Q6+P7</f>
        <v>1.5</v>
      </c>
      <c r="S7" s="38">
        <f t="shared" si="0"/>
        <v>90</v>
      </c>
      <c r="T7" s="4">
        <f t="shared" si="2"/>
        <v>0.88026231817081491</v>
      </c>
      <c r="U7" s="4">
        <f t="shared" si="3"/>
        <v>0.3143793993467196</v>
      </c>
      <c r="V7" s="4">
        <f t="shared" si="4"/>
        <v>0.2515035194773757</v>
      </c>
      <c r="W7" s="4">
        <f t="shared" si="5"/>
        <v>9.4313819804015889E-2</v>
      </c>
      <c r="X7" s="5">
        <f t="shared" ref="X7:X24" si="13">SQRT(S7)</f>
        <v>9.4868329805051381</v>
      </c>
    </row>
    <row r="8" spans="1:42" x14ac:dyDescent="0.3">
      <c r="A8" s="4">
        <v>120</v>
      </c>
      <c r="B8" s="32">
        <v>66</v>
      </c>
      <c r="C8" s="12"/>
      <c r="D8" s="30">
        <f t="shared" si="1"/>
        <v>5</v>
      </c>
      <c r="E8" s="30">
        <f t="shared" si="6"/>
        <v>19</v>
      </c>
      <c r="F8" s="14">
        <v>82</v>
      </c>
      <c r="G8" s="15"/>
      <c r="H8" s="10">
        <f t="shared" si="7"/>
        <v>1</v>
      </c>
      <c r="I8" s="10">
        <f t="shared" si="8"/>
        <v>6</v>
      </c>
      <c r="J8" s="17">
        <v>85.5</v>
      </c>
      <c r="K8" s="20"/>
      <c r="L8" s="36">
        <f t="shared" si="9"/>
        <v>0.5</v>
      </c>
      <c r="M8" s="36">
        <f t="shared" si="10"/>
        <v>4.5</v>
      </c>
      <c r="N8" s="19">
        <v>71</v>
      </c>
      <c r="O8" s="21"/>
      <c r="P8" s="37">
        <f t="shared" si="11"/>
        <v>0.5</v>
      </c>
      <c r="Q8" s="37">
        <f t="shared" si="12"/>
        <v>2</v>
      </c>
      <c r="S8" s="38">
        <f t="shared" si="0"/>
        <v>120</v>
      </c>
      <c r="T8" s="4">
        <f t="shared" si="2"/>
        <v>1.1946417175175346</v>
      </c>
      <c r="U8" s="4">
        <f t="shared" si="3"/>
        <v>0.37725527921606355</v>
      </c>
      <c r="V8" s="4">
        <f t="shared" si="4"/>
        <v>0.28294145941204768</v>
      </c>
      <c r="W8" s="4">
        <f t="shared" si="5"/>
        <v>0.12575175973868785</v>
      </c>
      <c r="X8" s="5">
        <f t="shared" si="13"/>
        <v>10.954451150103322</v>
      </c>
      <c r="AN8" s="40" t="s">
        <v>44</v>
      </c>
      <c r="AO8" s="40"/>
      <c r="AP8" s="40"/>
    </row>
    <row r="9" spans="1:42" x14ac:dyDescent="0.3">
      <c r="A9" s="4">
        <v>150</v>
      </c>
      <c r="B9" s="32">
        <v>61</v>
      </c>
      <c r="C9" s="12"/>
      <c r="D9" s="30">
        <f t="shared" si="1"/>
        <v>5</v>
      </c>
      <c r="E9" s="30">
        <f t="shared" si="6"/>
        <v>24</v>
      </c>
      <c r="F9" s="14">
        <v>80</v>
      </c>
      <c r="G9" s="15"/>
      <c r="H9" s="10">
        <f t="shared" si="7"/>
        <v>2</v>
      </c>
      <c r="I9" s="10">
        <f t="shared" si="8"/>
        <v>8</v>
      </c>
      <c r="J9" s="17">
        <v>85</v>
      </c>
      <c r="K9" s="20"/>
      <c r="L9" s="36">
        <f t="shared" si="9"/>
        <v>0.5</v>
      </c>
      <c r="M9" s="36">
        <f t="shared" si="10"/>
        <v>5</v>
      </c>
      <c r="N9" s="19">
        <v>70.5</v>
      </c>
      <c r="O9" s="21"/>
      <c r="P9" s="37">
        <f t="shared" si="11"/>
        <v>0.5</v>
      </c>
      <c r="Q9" s="37">
        <f t="shared" si="12"/>
        <v>2.5</v>
      </c>
      <c r="S9" s="38">
        <f t="shared" si="0"/>
        <v>150</v>
      </c>
      <c r="T9" s="4">
        <f t="shared" si="2"/>
        <v>1.5090211168642542</v>
      </c>
      <c r="U9" s="4">
        <f t="shared" si="3"/>
        <v>0.50300703895475141</v>
      </c>
      <c r="V9" s="4">
        <f t="shared" si="4"/>
        <v>0.3143793993467196</v>
      </c>
      <c r="W9" s="4">
        <f t="shared" si="5"/>
        <v>0.1571896996733598</v>
      </c>
      <c r="X9" s="5">
        <f t="shared" si="13"/>
        <v>12.24744871391589</v>
      </c>
      <c r="AL9" s="27" t="s">
        <v>15</v>
      </c>
      <c r="AM9" s="27" t="s">
        <v>7</v>
      </c>
      <c r="AN9" s="27" t="s">
        <v>8</v>
      </c>
      <c r="AO9" s="27" t="s">
        <v>12</v>
      </c>
      <c r="AP9" s="27" t="s">
        <v>13</v>
      </c>
    </row>
    <row r="10" spans="1:42" x14ac:dyDescent="0.3">
      <c r="A10" s="4">
        <v>180</v>
      </c>
      <c r="B10" s="32">
        <v>57</v>
      </c>
      <c r="C10" s="12"/>
      <c r="D10" s="30">
        <f t="shared" si="1"/>
        <v>4</v>
      </c>
      <c r="E10" s="30">
        <f t="shared" si="6"/>
        <v>28</v>
      </c>
      <c r="F10" s="14">
        <v>79</v>
      </c>
      <c r="G10" s="15"/>
      <c r="H10" s="10">
        <f t="shared" si="7"/>
        <v>1</v>
      </c>
      <c r="I10" s="10">
        <f t="shared" si="8"/>
        <v>9</v>
      </c>
      <c r="J10" s="17">
        <v>84.5</v>
      </c>
      <c r="K10" s="20"/>
      <c r="L10" s="36">
        <f t="shared" si="9"/>
        <v>0.5</v>
      </c>
      <c r="M10" s="36">
        <f t="shared" si="10"/>
        <v>5.5</v>
      </c>
      <c r="N10" s="19">
        <v>70</v>
      </c>
      <c r="O10" s="21"/>
      <c r="P10" s="37">
        <f t="shared" si="11"/>
        <v>0.5</v>
      </c>
      <c r="Q10" s="37">
        <f t="shared" si="12"/>
        <v>3</v>
      </c>
      <c r="S10" s="38">
        <f t="shared" si="0"/>
        <v>180</v>
      </c>
      <c r="T10" s="4">
        <f t="shared" si="2"/>
        <v>1.7605246363416298</v>
      </c>
      <c r="U10" s="4">
        <f t="shared" si="3"/>
        <v>0.56588291882409536</v>
      </c>
      <c r="V10" s="4">
        <f t="shared" si="4"/>
        <v>0.34581733928139158</v>
      </c>
      <c r="W10" s="4">
        <f t="shared" si="5"/>
        <v>0.18862763960803178</v>
      </c>
      <c r="X10" s="5">
        <f t="shared" si="13"/>
        <v>13.416407864998739</v>
      </c>
      <c r="AL10" s="4">
        <v>0.5</v>
      </c>
      <c r="AM10" s="4">
        <v>2.8E-3</v>
      </c>
      <c r="AN10" s="4">
        <f>AM10/AM20</f>
        <v>7.2219628618960807E-4</v>
      </c>
      <c r="AO10" s="4">
        <f>AN10*60</f>
        <v>4.3331777171376484E-2</v>
      </c>
      <c r="AP10" s="4">
        <f>AO10*60</f>
        <v>2.5999066302825891</v>
      </c>
    </row>
    <row r="11" spans="1:42" x14ac:dyDescent="0.3">
      <c r="A11" s="4">
        <v>210</v>
      </c>
      <c r="B11" s="32">
        <v>52</v>
      </c>
      <c r="C11" s="12"/>
      <c r="D11" s="30">
        <f t="shared" si="1"/>
        <v>5</v>
      </c>
      <c r="E11" s="30">
        <f t="shared" si="6"/>
        <v>33</v>
      </c>
      <c r="F11" s="14">
        <v>77</v>
      </c>
      <c r="G11" s="15"/>
      <c r="H11" s="10">
        <f t="shared" si="7"/>
        <v>2</v>
      </c>
      <c r="I11" s="10">
        <f t="shared" si="8"/>
        <v>11</v>
      </c>
      <c r="J11" s="17">
        <v>84</v>
      </c>
      <c r="K11" s="20"/>
      <c r="L11" s="36">
        <f t="shared" si="9"/>
        <v>0.5</v>
      </c>
      <c r="M11" s="36">
        <f t="shared" si="10"/>
        <v>6</v>
      </c>
      <c r="N11" s="19">
        <v>69</v>
      </c>
      <c r="O11" s="21"/>
      <c r="P11" s="37">
        <f t="shared" si="11"/>
        <v>1</v>
      </c>
      <c r="Q11" s="37">
        <f t="shared" si="12"/>
        <v>4</v>
      </c>
      <c r="S11" s="38">
        <f t="shared" si="0"/>
        <v>210</v>
      </c>
      <c r="T11" s="4">
        <f t="shared" si="2"/>
        <v>2.0749040356883497</v>
      </c>
      <c r="U11" s="4">
        <f t="shared" si="3"/>
        <v>0.69163467856278316</v>
      </c>
      <c r="V11" s="4">
        <f t="shared" si="4"/>
        <v>0.37725527921606355</v>
      </c>
      <c r="W11" s="4">
        <f t="shared" si="5"/>
        <v>0.2515035194773757</v>
      </c>
      <c r="X11" s="5">
        <f t="shared" si="13"/>
        <v>14.491376746189438</v>
      </c>
      <c r="AL11" s="4">
        <v>1</v>
      </c>
      <c r="AM11" s="4">
        <v>3.0000000000000001E-3</v>
      </c>
      <c r="AN11" s="4">
        <f t="shared" ref="AN11:AN13" si="14">AM11/AM21</f>
        <v>7.7160853157302802E-4</v>
      </c>
      <c r="AO11" s="4">
        <f t="shared" ref="AO11:AP13" si="15">AN11*60</f>
        <v>4.6296511894381678E-2</v>
      </c>
      <c r="AP11" s="4">
        <f t="shared" si="15"/>
        <v>2.7777907136629008</v>
      </c>
    </row>
    <row r="12" spans="1:42" x14ac:dyDescent="0.3">
      <c r="A12" s="4">
        <v>240</v>
      </c>
      <c r="B12" s="32">
        <v>47</v>
      </c>
      <c r="C12" s="12">
        <v>86</v>
      </c>
      <c r="D12" s="30">
        <f t="shared" si="1"/>
        <v>5</v>
      </c>
      <c r="E12" s="30">
        <f t="shared" si="6"/>
        <v>38</v>
      </c>
      <c r="F12" s="14">
        <v>76</v>
      </c>
      <c r="G12" s="15"/>
      <c r="H12" s="10">
        <f t="shared" si="7"/>
        <v>1</v>
      </c>
      <c r="I12" s="10">
        <f t="shared" si="8"/>
        <v>12</v>
      </c>
      <c r="J12" s="17">
        <v>83</v>
      </c>
      <c r="K12" s="20"/>
      <c r="L12" s="36">
        <f t="shared" si="9"/>
        <v>1</v>
      </c>
      <c r="M12" s="36">
        <f t="shared" si="10"/>
        <v>7</v>
      </c>
      <c r="N12" s="19">
        <v>68.5</v>
      </c>
      <c r="O12" s="21"/>
      <c r="P12" s="37">
        <f t="shared" si="11"/>
        <v>0.5</v>
      </c>
      <c r="Q12" s="37">
        <f t="shared" si="12"/>
        <v>4.5</v>
      </c>
      <c r="S12" s="38">
        <f t="shared" si="0"/>
        <v>240</v>
      </c>
      <c r="T12" s="4">
        <f t="shared" si="2"/>
        <v>2.3892834350350691</v>
      </c>
      <c r="U12" s="4">
        <f t="shared" si="3"/>
        <v>0.75451055843212711</v>
      </c>
      <c r="V12" s="4">
        <f t="shared" si="4"/>
        <v>0.44013115908540745</v>
      </c>
      <c r="W12" s="4">
        <f t="shared" si="5"/>
        <v>0.28294145941204768</v>
      </c>
      <c r="X12" s="5">
        <f t="shared" si="13"/>
        <v>15.491933384829668</v>
      </c>
      <c r="AL12" s="4">
        <v>2</v>
      </c>
      <c r="AM12" s="4">
        <v>1.6999999999999999E-3</v>
      </c>
      <c r="AN12" s="4">
        <f t="shared" si="14"/>
        <v>4.347922367617693E-4</v>
      </c>
      <c r="AO12" s="4">
        <f t="shared" si="15"/>
        <v>2.6087534205706156E-2</v>
      </c>
      <c r="AP12" s="4">
        <f t="shared" si="15"/>
        <v>1.5652520523423694</v>
      </c>
    </row>
    <row r="13" spans="1:42" x14ac:dyDescent="0.3">
      <c r="A13" s="4">
        <v>270</v>
      </c>
      <c r="B13" s="32">
        <v>84</v>
      </c>
      <c r="C13" s="12"/>
      <c r="D13" s="31">
        <f>C12-B13</f>
        <v>2</v>
      </c>
      <c r="E13" s="30">
        <f t="shared" si="6"/>
        <v>40</v>
      </c>
      <c r="F13" s="14">
        <v>75</v>
      </c>
      <c r="G13" s="15"/>
      <c r="H13" s="10">
        <f t="shared" si="7"/>
        <v>1</v>
      </c>
      <c r="I13" s="10">
        <f t="shared" si="8"/>
        <v>13</v>
      </c>
      <c r="J13" s="17">
        <v>82</v>
      </c>
      <c r="K13" s="20"/>
      <c r="L13" s="36">
        <f t="shared" si="9"/>
        <v>1</v>
      </c>
      <c r="M13" s="36">
        <f t="shared" si="10"/>
        <v>8</v>
      </c>
      <c r="N13" s="19">
        <v>68</v>
      </c>
      <c r="O13" s="21"/>
      <c r="P13" s="37">
        <f t="shared" si="11"/>
        <v>0.5</v>
      </c>
      <c r="Q13" s="37">
        <f t="shared" si="12"/>
        <v>5</v>
      </c>
      <c r="S13" s="38">
        <f t="shared" si="0"/>
        <v>270</v>
      </c>
      <c r="T13" s="4">
        <f t="shared" si="2"/>
        <v>2.5150351947737568</v>
      </c>
      <c r="U13" s="4">
        <f t="shared" si="3"/>
        <v>0.81738643830147106</v>
      </c>
      <c r="V13" s="4">
        <f t="shared" si="4"/>
        <v>0.50300703895475141</v>
      </c>
      <c r="W13" s="4">
        <f t="shared" si="5"/>
        <v>0.3143793993467196</v>
      </c>
      <c r="X13" s="5">
        <f t="shared" si="13"/>
        <v>16.431676725154983</v>
      </c>
      <c r="AL13" s="4">
        <v>3</v>
      </c>
      <c r="AM13" s="4">
        <v>1.4E-3</v>
      </c>
      <c r="AN13" s="4">
        <f t="shared" si="14"/>
        <v>3.5605573796460661E-4</v>
      </c>
      <c r="AO13" s="4">
        <f t="shared" si="15"/>
        <v>2.1363344277876395E-2</v>
      </c>
      <c r="AP13" s="4">
        <f t="shared" si="15"/>
        <v>1.2818006566725837</v>
      </c>
    </row>
    <row r="14" spans="1:42" x14ac:dyDescent="0.3">
      <c r="A14" s="4">
        <v>300</v>
      </c>
      <c r="B14" s="32">
        <v>83</v>
      </c>
      <c r="C14" s="12"/>
      <c r="D14" s="30">
        <f t="shared" si="1"/>
        <v>1</v>
      </c>
      <c r="E14" s="30">
        <f t="shared" si="6"/>
        <v>41</v>
      </c>
      <c r="F14" s="14">
        <v>74</v>
      </c>
      <c r="G14" s="15"/>
      <c r="H14" s="10">
        <f t="shared" si="7"/>
        <v>1</v>
      </c>
      <c r="I14" s="10">
        <f t="shared" si="8"/>
        <v>14</v>
      </c>
      <c r="J14" s="17">
        <v>81</v>
      </c>
      <c r="K14" s="20"/>
      <c r="L14" s="36">
        <f t="shared" si="9"/>
        <v>1</v>
      </c>
      <c r="M14" s="36">
        <f t="shared" si="10"/>
        <v>9</v>
      </c>
      <c r="N14" s="19">
        <v>67</v>
      </c>
      <c r="O14" s="21"/>
      <c r="P14" s="37">
        <f t="shared" si="11"/>
        <v>1</v>
      </c>
      <c r="Q14" s="37">
        <f t="shared" si="12"/>
        <v>6</v>
      </c>
      <c r="S14" s="38">
        <f t="shared" si="0"/>
        <v>300</v>
      </c>
      <c r="T14" s="4">
        <f t="shared" si="2"/>
        <v>2.5779110746431009</v>
      </c>
      <c r="U14" s="4">
        <f t="shared" si="3"/>
        <v>0.88026231817081491</v>
      </c>
      <c r="V14" s="4">
        <f t="shared" si="4"/>
        <v>0.56588291882409536</v>
      </c>
      <c r="W14" s="4">
        <f t="shared" si="5"/>
        <v>0.37725527921606355</v>
      </c>
      <c r="X14" s="5">
        <f t="shared" si="13"/>
        <v>17.320508075688775</v>
      </c>
    </row>
    <row r="15" spans="1:42" x14ac:dyDescent="0.3">
      <c r="A15" s="4">
        <v>330</v>
      </c>
      <c r="B15" s="32">
        <v>81</v>
      </c>
      <c r="C15" s="12">
        <v>75</v>
      </c>
      <c r="D15" s="30">
        <f t="shared" si="1"/>
        <v>2</v>
      </c>
      <c r="E15" s="30">
        <f t="shared" si="6"/>
        <v>43</v>
      </c>
      <c r="F15" s="14">
        <v>72</v>
      </c>
      <c r="G15" s="15"/>
      <c r="H15" s="10">
        <f t="shared" si="7"/>
        <v>2</v>
      </c>
      <c r="I15" s="10">
        <f t="shared" si="8"/>
        <v>16</v>
      </c>
      <c r="J15" s="17">
        <v>80.5</v>
      </c>
      <c r="K15" s="20"/>
      <c r="L15" s="36">
        <f t="shared" si="9"/>
        <v>0.5</v>
      </c>
      <c r="M15" s="36">
        <f t="shared" si="10"/>
        <v>9.5</v>
      </c>
      <c r="N15" s="19">
        <v>66.5</v>
      </c>
      <c r="O15" s="21"/>
      <c r="P15" s="37">
        <f t="shared" si="11"/>
        <v>0.5</v>
      </c>
      <c r="Q15" s="37">
        <f t="shared" si="12"/>
        <v>6.5</v>
      </c>
      <c r="S15" s="38">
        <f t="shared" si="0"/>
        <v>330</v>
      </c>
      <c r="T15" s="4">
        <f t="shared" si="2"/>
        <v>2.703662834381789</v>
      </c>
      <c r="U15" s="4">
        <f t="shared" si="3"/>
        <v>1.0060140779095028</v>
      </c>
      <c r="V15" s="4">
        <f t="shared" si="4"/>
        <v>0.59732085875876728</v>
      </c>
      <c r="W15" s="4">
        <f t="shared" si="5"/>
        <v>0.40869321915073553</v>
      </c>
      <c r="X15" s="5">
        <f t="shared" si="13"/>
        <v>18.165902124584949</v>
      </c>
    </row>
    <row r="16" spans="1:42" x14ac:dyDescent="0.3">
      <c r="A16" s="4">
        <v>360</v>
      </c>
      <c r="B16" s="32">
        <v>73</v>
      </c>
      <c r="C16" s="12"/>
      <c r="D16" s="31">
        <f>C15-B16</f>
        <v>2</v>
      </c>
      <c r="E16" s="30">
        <f t="shared" si="6"/>
        <v>45</v>
      </c>
      <c r="F16" s="14">
        <v>71</v>
      </c>
      <c r="G16" s="15"/>
      <c r="H16" s="10">
        <f t="shared" si="7"/>
        <v>1</v>
      </c>
      <c r="I16" s="10">
        <f t="shared" si="8"/>
        <v>17</v>
      </c>
      <c r="J16" s="17">
        <v>80</v>
      </c>
      <c r="K16" s="20"/>
      <c r="L16" s="36">
        <f t="shared" si="9"/>
        <v>0.5</v>
      </c>
      <c r="M16" s="36">
        <f t="shared" si="10"/>
        <v>10</v>
      </c>
      <c r="N16" s="19">
        <v>65</v>
      </c>
      <c r="O16" s="21"/>
      <c r="P16" s="37">
        <f t="shared" si="11"/>
        <v>1.5</v>
      </c>
      <c r="Q16" s="37">
        <f t="shared" si="12"/>
        <v>8</v>
      </c>
      <c r="S16" s="38">
        <f t="shared" si="0"/>
        <v>360</v>
      </c>
      <c r="T16" s="4">
        <f t="shared" si="2"/>
        <v>2.8294145941204767</v>
      </c>
      <c r="U16" s="4">
        <f t="shared" si="3"/>
        <v>1.0688899577788467</v>
      </c>
      <c r="V16" s="4">
        <f t="shared" si="4"/>
        <v>0.6287587986934392</v>
      </c>
      <c r="W16" s="4">
        <f t="shared" si="5"/>
        <v>0.50300703895475141</v>
      </c>
      <c r="X16" s="5">
        <f t="shared" si="13"/>
        <v>18.973665961010276</v>
      </c>
    </row>
    <row r="17" spans="1:40" x14ac:dyDescent="0.3">
      <c r="A17" s="4">
        <v>390</v>
      </c>
      <c r="B17" s="32">
        <v>72</v>
      </c>
      <c r="C17" s="12"/>
      <c r="D17" s="30">
        <f t="shared" si="1"/>
        <v>1</v>
      </c>
      <c r="E17" s="30">
        <f t="shared" si="6"/>
        <v>46</v>
      </c>
      <c r="F17" s="14">
        <v>69</v>
      </c>
      <c r="G17" s="15"/>
      <c r="H17" s="10">
        <f t="shared" si="7"/>
        <v>2</v>
      </c>
      <c r="I17" s="10">
        <f t="shared" si="8"/>
        <v>19</v>
      </c>
      <c r="J17" s="17">
        <v>79.5</v>
      </c>
      <c r="K17" s="20"/>
      <c r="L17" s="36">
        <f t="shared" si="9"/>
        <v>0.5</v>
      </c>
      <c r="M17" s="36">
        <f t="shared" si="10"/>
        <v>10.5</v>
      </c>
      <c r="N17" s="19">
        <v>64.5</v>
      </c>
      <c r="O17" s="21"/>
      <c r="P17" s="37">
        <f t="shared" si="11"/>
        <v>0.5</v>
      </c>
      <c r="Q17" s="37">
        <f t="shared" si="12"/>
        <v>8.5</v>
      </c>
      <c r="S17" s="38">
        <f t="shared" si="0"/>
        <v>390</v>
      </c>
      <c r="T17" s="4">
        <f t="shared" si="2"/>
        <v>2.8922904739898208</v>
      </c>
      <c r="U17" s="4">
        <f t="shared" si="3"/>
        <v>1.1946417175175346</v>
      </c>
      <c r="V17" s="4">
        <f t="shared" si="4"/>
        <v>0.66019673862811123</v>
      </c>
      <c r="W17" s="4">
        <f t="shared" si="5"/>
        <v>0.53444497888942333</v>
      </c>
      <c r="X17" s="5">
        <f t="shared" si="13"/>
        <v>19.748417658131498</v>
      </c>
      <c r="AL17" s="42" t="s">
        <v>47</v>
      </c>
      <c r="AM17" s="42"/>
      <c r="AN17" s="42"/>
    </row>
    <row r="18" spans="1:40" x14ac:dyDescent="0.3">
      <c r="A18" s="4">
        <v>420</v>
      </c>
      <c r="B18" s="32">
        <v>71</v>
      </c>
      <c r="C18" s="12">
        <v>84</v>
      </c>
      <c r="D18" s="30">
        <f t="shared" si="1"/>
        <v>1</v>
      </c>
      <c r="E18" s="30">
        <f t="shared" si="6"/>
        <v>47</v>
      </c>
      <c r="F18" s="14">
        <v>68</v>
      </c>
      <c r="G18" s="15"/>
      <c r="H18" s="10">
        <f t="shared" si="7"/>
        <v>1</v>
      </c>
      <c r="I18" s="10">
        <f t="shared" si="8"/>
        <v>20</v>
      </c>
      <c r="J18" s="17">
        <v>78.5</v>
      </c>
      <c r="K18" s="20"/>
      <c r="L18" s="36">
        <f t="shared" si="9"/>
        <v>1</v>
      </c>
      <c r="M18" s="36">
        <f t="shared" si="10"/>
        <v>11.5</v>
      </c>
      <c r="N18" s="19">
        <v>64</v>
      </c>
      <c r="O18" s="21"/>
      <c r="P18" s="37">
        <f t="shared" si="11"/>
        <v>0.5</v>
      </c>
      <c r="Q18" s="37">
        <f t="shared" si="12"/>
        <v>9</v>
      </c>
      <c r="S18" s="38">
        <f t="shared" si="0"/>
        <v>420</v>
      </c>
      <c r="T18" s="4">
        <f t="shared" si="2"/>
        <v>2.9551663538591644</v>
      </c>
      <c r="U18" s="4">
        <f t="shared" si="3"/>
        <v>1.2575175973868784</v>
      </c>
      <c r="V18" s="4">
        <f t="shared" si="4"/>
        <v>0.72307261849745519</v>
      </c>
      <c r="W18" s="4">
        <f t="shared" si="5"/>
        <v>0.56588291882409536</v>
      </c>
      <c r="X18" s="5">
        <f t="shared" si="13"/>
        <v>20.493901531919196</v>
      </c>
      <c r="AL18" s="5"/>
      <c r="AM18" s="5" t="s">
        <v>9</v>
      </c>
      <c r="AN18" s="5" t="s">
        <v>10</v>
      </c>
    </row>
    <row r="19" spans="1:40" x14ac:dyDescent="0.3">
      <c r="A19" s="4">
        <v>450</v>
      </c>
      <c r="B19" s="32">
        <v>82</v>
      </c>
      <c r="C19" s="12"/>
      <c r="D19" s="31">
        <f>C18-B19</f>
        <v>2</v>
      </c>
      <c r="E19" s="30">
        <f t="shared" si="6"/>
        <v>49</v>
      </c>
      <c r="F19" s="14">
        <v>66</v>
      </c>
      <c r="G19" s="15"/>
      <c r="H19" s="10">
        <f t="shared" si="7"/>
        <v>2</v>
      </c>
      <c r="I19" s="10">
        <f t="shared" si="8"/>
        <v>22</v>
      </c>
      <c r="J19" s="17">
        <v>78</v>
      </c>
      <c r="K19" s="20"/>
      <c r="L19" s="36">
        <f t="shared" si="9"/>
        <v>0.5</v>
      </c>
      <c r="M19" s="36">
        <f t="shared" si="10"/>
        <v>12</v>
      </c>
      <c r="N19" s="19">
        <v>63.5</v>
      </c>
      <c r="O19" s="21"/>
      <c r="P19" s="37">
        <f t="shared" si="11"/>
        <v>0.5</v>
      </c>
      <c r="Q19" s="37">
        <f t="shared" si="12"/>
        <v>9.5</v>
      </c>
      <c r="S19" s="38">
        <f t="shared" si="0"/>
        <v>450</v>
      </c>
      <c r="T19" s="4">
        <f t="shared" si="2"/>
        <v>3.0809181135978525</v>
      </c>
      <c r="U19" s="4">
        <f t="shared" si="3"/>
        <v>1.3832693571255663</v>
      </c>
      <c r="V19" s="4">
        <f t="shared" si="4"/>
        <v>0.75451055843212711</v>
      </c>
      <c r="W19" s="4">
        <f t="shared" si="5"/>
        <v>0.59732085875876728</v>
      </c>
      <c r="X19" s="5">
        <f t="shared" si="13"/>
        <v>21.213203435596427</v>
      </c>
      <c r="AL19" s="5" t="s">
        <v>11</v>
      </c>
      <c r="AM19" s="5"/>
      <c r="AN19" s="5"/>
    </row>
    <row r="20" spans="1:40" x14ac:dyDescent="0.3">
      <c r="A20" s="4">
        <v>480</v>
      </c>
      <c r="B20" s="32">
        <v>80</v>
      </c>
      <c r="C20" s="12"/>
      <c r="D20" s="30">
        <f t="shared" si="1"/>
        <v>2</v>
      </c>
      <c r="E20" s="30">
        <f t="shared" si="6"/>
        <v>51</v>
      </c>
      <c r="F20" s="14">
        <v>65</v>
      </c>
      <c r="G20" s="15"/>
      <c r="H20" s="10">
        <f t="shared" si="7"/>
        <v>1</v>
      </c>
      <c r="I20" s="10">
        <f t="shared" si="8"/>
        <v>23</v>
      </c>
      <c r="J20" s="17">
        <v>77</v>
      </c>
      <c r="K20" s="20"/>
      <c r="L20" s="36">
        <f t="shared" si="9"/>
        <v>1</v>
      </c>
      <c r="M20" s="36">
        <f t="shared" si="10"/>
        <v>13</v>
      </c>
      <c r="N20" s="19">
        <v>63</v>
      </c>
      <c r="O20" s="21"/>
      <c r="P20" s="37">
        <f t="shared" si="11"/>
        <v>0.5</v>
      </c>
      <c r="Q20" s="37">
        <f t="shared" si="12"/>
        <v>10</v>
      </c>
      <c r="S20" s="38">
        <f t="shared" si="0"/>
        <v>480</v>
      </c>
      <c r="T20" s="4">
        <f t="shared" si="2"/>
        <v>3.2066698733365402</v>
      </c>
      <c r="U20" s="4">
        <f t="shared" si="3"/>
        <v>1.4461452369949104</v>
      </c>
      <c r="V20" s="4">
        <f t="shared" si="4"/>
        <v>0.81738643830147106</v>
      </c>
      <c r="W20" s="4">
        <f t="shared" si="5"/>
        <v>0.6287587986934392</v>
      </c>
      <c r="X20" s="5">
        <f t="shared" si="13"/>
        <v>21.908902300206645</v>
      </c>
      <c r="AL20" s="4">
        <v>-0.5</v>
      </c>
      <c r="AM20" s="5">
        <v>3.87706230777387</v>
      </c>
      <c r="AN20" s="5"/>
    </row>
    <row r="21" spans="1:40" x14ac:dyDescent="0.3">
      <c r="A21" s="4">
        <v>510</v>
      </c>
      <c r="B21" s="32">
        <v>78</v>
      </c>
      <c r="C21" s="12"/>
      <c r="D21" s="30">
        <f t="shared" si="1"/>
        <v>2</v>
      </c>
      <c r="E21" s="30">
        <f t="shared" si="6"/>
        <v>53</v>
      </c>
      <c r="F21" s="14">
        <v>64</v>
      </c>
      <c r="G21" s="15"/>
      <c r="H21" s="10">
        <f t="shared" si="7"/>
        <v>1</v>
      </c>
      <c r="I21" s="10">
        <f t="shared" si="8"/>
        <v>24</v>
      </c>
      <c r="J21" s="17">
        <v>76</v>
      </c>
      <c r="K21" s="20"/>
      <c r="L21" s="36">
        <f t="shared" si="9"/>
        <v>1</v>
      </c>
      <c r="M21" s="36">
        <f t="shared" si="10"/>
        <v>14</v>
      </c>
      <c r="N21" s="19">
        <v>62.5</v>
      </c>
      <c r="O21" s="21"/>
      <c r="P21" s="37">
        <f t="shared" si="11"/>
        <v>0.5</v>
      </c>
      <c r="Q21" s="37">
        <f t="shared" si="12"/>
        <v>10.5</v>
      </c>
      <c r="S21" s="38">
        <f t="shared" si="0"/>
        <v>510</v>
      </c>
      <c r="T21" s="4">
        <f t="shared" si="2"/>
        <v>3.3324216330752279</v>
      </c>
      <c r="U21" s="4">
        <f t="shared" si="3"/>
        <v>1.5090211168642542</v>
      </c>
      <c r="V21" s="4">
        <f t="shared" si="4"/>
        <v>0.88026231817081491</v>
      </c>
      <c r="W21" s="4">
        <f t="shared" si="5"/>
        <v>0.66019673862811123</v>
      </c>
      <c r="X21" s="5">
        <f t="shared" si="13"/>
        <v>22.583179581272429</v>
      </c>
      <c r="AL21" s="4">
        <v>-1</v>
      </c>
      <c r="AM21" s="5">
        <v>3.8879818939846293</v>
      </c>
      <c r="AN21" s="5"/>
    </row>
    <row r="22" spans="1:40" x14ac:dyDescent="0.3">
      <c r="A22" s="4">
        <v>540</v>
      </c>
      <c r="B22" s="32">
        <v>76</v>
      </c>
      <c r="C22" s="12"/>
      <c r="D22" s="30">
        <f t="shared" si="1"/>
        <v>2</v>
      </c>
      <c r="E22" s="30">
        <f t="shared" si="6"/>
        <v>55</v>
      </c>
      <c r="F22" s="14">
        <v>62</v>
      </c>
      <c r="G22" s="15"/>
      <c r="H22" s="10">
        <f t="shared" si="7"/>
        <v>2</v>
      </c>
      <c r="I22" s="10">
        <f t="shared" si="8"/>
        <v>26</v>
      </c>
      <c r="J22" s="17">
        <v>75.5</v>
      </c>
      <c r="K22" s="20"/>
      <c r="L22" s="36">
        <f t="shared" si="9"/>
        <v>0.5</v>
      </c>
      <c r="M22" s="36">
        <f t="shared" si="10"/>
        <v>14.5</v>
      </c>
      <c r="N22" s="19">
        <v>62</v>
      </c>
      <c r="O22" s="21"/>
      <c r="P22" s="37">
        <f t="shared" si="11"/>
        <v>0.5</v>
      </c>
      <c r="Q22" s="37">
        <f t="shared" si="12"/>
        <v>11</v>
      </c>
      <c r="S22" s="38">
        <f t="shared" si="0"/>
        <v>540</v>
      </c>
      <c r="T22" s="4">
        <f t="shared" si="2"/>
        <v>3.458173392813916</v>
      </c>
      <c r="U22" s="4">
        <f t="shared" si="3"/>
        <v>1.6347728766029421</v>
      </c>
      <c r="V22" s="4">
        <f t="shared" si="4"/>
        <v>0.91170025810548694</v>
      </c>
      <c r="W22" s="4">
        <f t="shared" si="5"/>
        <v>0.69163467856278316</v>
      </c>
      <c r="X22" s="5">
        <f t="shared" si="13"/>
        <v>23.2379000772445</v>
      </c>
      <c r="AL22" s="4">
        <v>-2</v>
      </c>
      <c r="AM22" s="5">
        <v>3.9099134167187564</v>
      </c>
      <c r="AN22" s="5"/>
    </row>
    <row r="23" spans="1:40" x14ac:dyDescent="0.3">
      <c r="A23" s="4">
        <v>570</v>
      </c>
      <c r="B23" s="32">
        <v>75</v>
      </c>
      <c r="C23" s="12"/>
      <c r="D23" s="30">
        <f t="shared" si="1"/>
        <v>1</v>
      </c>
      <c r="E23" s="30">
        <f t="shared" si="6"/>
        <v>56</v>
      </c>
      <c r="F23" s="14">
        <v>61</v>
      </c>
      <c r="G23" s="15"/>
      <c r="H23" s="10">
        <f t="shared" si="7"/>
        <v>1</v>
      </c>
      <c r="I23" s="10">
        <f t="shared" si="8"/>
        <v>27</v>
      </c>
      <c r="J23" s="17">
        <v>74.5</v>
      </c>
      <c r="K23" s="20"/>
      <c r="L23" s="36">
        <f t="shared" si="9"/>
        <v>1</v>
      </c>
      <c r="M23" s="36">
        <f t="shared" si="10"/>
        <v>15.5</v>
      </c>
      <c r="N23" s="19">
        <v>61.5</v>
      </c>
      <c r="O23" s="21"/>
      <c r="P23" s="37">
        <f t="shared" si="11"/>
        <v>0.5</v>
      </c>
      <c r="Q23" s="37">
        <f t="shared" si="12"/>
        <v>11.5</v>
      </c>
      <c r="S23" s="38">
        <f t="shared" si="0"/>
        <v>570</v>
      </c>
      <c r="T23" s="4">
        <f t="shared" si="2"/>
        <v>3.5210492726832596</v>
      </c>
      <c r="U23" s="4">
        <f t="shared" si="3"/>
        <v>1.697648756472286</v>
      </c>
      <c r="V23" s="4">
        <f t="shared" si="4"/>
        <v>0.97457613797483089</v>
      </c>
      <c r="W23" s="4">
        <f t="shared" si="5"/>
        <v>0.72307261849745519</v>
      </c>
      <c r="X23" s="5">
        <f t="shared" si="13"/>
        <v>23.874672772626646</v>
      </c>
      <c r="AL23" s="4">
        <v>-3</v>
      </c>
      <c r="AM23" s="5">
        <v>3.9319686518832779</v>
      </c>
      <c r="AN23" s="5"/>
    </row>
    <row r="24" spans="1:40" x14ac:dyDescent="0.3">
      <c r="A24" s="4">
        <v>600</v>
      </c>
      <c r="B24" s="32">
        <v>73</v>
      </c>
      <c r="C24" s="12"/>
      <c r="D24" s="30">
        <f t="shared" si="1"/>
        <v>2</v>
      </c>
      <c r="E24" s="30">
        <f>E23+D24</f>
        <v>58</v>
      </c>
      <c r="F24" s="14">
        <v>59</v>
      </c>
      <c r="G24" s="15"/>
      <c r="H24" s="10">
        <f t="shared" si="7"/>
        <v>2</v>
      </c>
      <c r="I24" s="10">
        <f t="shared" si="8"/>
        <v>29</v>
      </c>
      <c r="J24" s="17">
        <v>74</v>
      </c>
      <c r="K24" s="20"/>
      <c r="L24" s="36">
        <f t="shared" si="9"/>
        <v>0.5</v>
      </c>
      <c r="M24" s="36">
        <f t="shared" si="10"/>
        <v>16</v>
      </c>
      <c r="N24" s="19">
        <v>61</v>
      </c>
      <c r="O24" s="21"/>
      <c r="P24" s="37">
        <f t="shared" si="11"/>
        <v>0.5</v>
      </c>
      <c r="Q24" s="37">
        <f t="shared" si="12"/>
        <v>12</v>
      </c>
      <c r="S24" s="38">
        <f t="shared" si="0"/>
        <v>600</v>
      </c>
      <c r="T24" s="4">
        <f t="shared" si="2"/>
        <v>3.6468010324219478</v>
      </c>
      <c r="U24" s="4">
        <f t="shared" si="3"/>
        <v>1.8234005162109739</v>
      </c>
      <c r="V24" s="4">
        <f t="shared" si="4"/>
        <v>1.0060140779095028</v>
      </c>
      <c r="W24" s="4">
        <f t="shared" si="5"/>
        <v>0.75451055843212711</v>
      </c>
      <c r="X24" s="5">
        <f t="shared" si="13"/>
        <v>24.494897427831781</v>
      </c>
    </row>
    <row r="25" spans="1:40" x14ac:dyDescent="0.3">
      <c r="S25" s="4" t="s">
        <v>18</v>
      </c>
      <c r="T25" s="26">
        <f>SUM(T5:T24)</f>
        <v>47.345537541615975</v>
      </c>
      <c r="U25" s="26">
        <f t="shared" ref="U25:W25" si="16">SUM(U5:U24)</f>
        <v>19.302895119888586</v>
      </c>
      <c r="V25" s="26">
        <f t="shared" si="16"/>
        <v>11.349096316416578</v>
      </c>
      <c r="W25" s="26">
        <f t="shared" si="16"/>
        <v>7.9537988034720062</v>
      </c>
      <c r="AL25" s="41" t="s">
        <v>45</v>
      </c>
      <c r="AM25" s="41"/>
      <c r="AN25" s="41"/>
    </row>
    <row r="26" spans="1:40" x14ac:dyDescent="0.3">
      <c r="AL26" s="5" t="s">
        <v>15</v>
      </c>
      <c r="AM26" s="5">
        <v>0</v>
      </c>
      <c r="AN26" s="5"/>
    </row>
    <row r="27" spans="1:40" x14ac:dyDescent="0.3">
      <c r="AL27" s="25" t="s">
        <v>14</v>
      </c>
      <c r="AM27" s="5">
        <f>-0.6269* (AM26)+3.0748</f>
        <v>3.0748000000000002</v>
      </c>
      <c r="AN27" s="5" t="s">
        <v>13</v>
      </c>
    </row>
    <row r="28" spans="1:40" x14ac:dyDescent="0.3">
      <c r="AL28" s="25" t="s">
        <v>16</v>
      </c>
      <c r="AM28" s="5">
        <f>AM27*10</f>
        <v>30.748000000000001</v>
      </c>
      <c r="AN28" s="5" t="s">
        <v>46</v>
      </c>
    </row>
    <row r="29" spans="1:40" x14ac:dyDescent="0.3">
      <c r="AL29" s="25" t="s">
        <v>16</v>
      </c>
      <c r="AM29" s="5">
        <f>(AM27*24)/100</f>
        <v>0.73795200000000005</v>
      </c>
      <c r="AN29" s="5" t="s">
        <v>17</v>
      </c>
    </row>
    <row r="30" spans="1:40" x14ac:dyDescent="0.3">
      <c r="B30" s="2"/>
    </row>
    <row r="31" spans="1:40" x14ac:dyDescent="0.3">
      <c r="B31" s="2"/>
    </row>
    <row r="32" spans="1:40" x14ac:dyDescent="0.3">
      <c r="B32" s="2"/>
    </row>
    <row r="33" spans="2:2" x14ac:dyDescent="0.3">
      <c r="B33" s="2"/>
    </row>
  </sheetData>
  <mergeCells count="3">
    <mergeCell ref="AN8:AP8"/>
    <mergeCell ref="AL25:AN25"/>
    <mergeCell ref="AL17:AN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31E3-C7C5-4BD5-AD8A-2BCB96D1BCE3}">
  <dimension ref="B4:L17"/>
  <sheetViews>
    <sheetView workbookViewId="0">
      <selection activeCell="G22" sqref="G22"/>
    </sheetView>
  </sheetViews>
  <sheetFormatPr baseColWidth="10" defaultRowHeight="14.4" x14ac:dyDescent="0.3"/>
  <sheetData>
    <row r="4" spans="2:12" x14ac:dyDescent="0.3">
      <c r="B4" s="4"/>
      <c r="C4" s="4" t="s">
        <v>28</v>
      </c>
      <c r="D4" s="4">
        <v>2.25</v>
      </c>
      <c r="E4" s="4" t="s">
        <v>29</v>
      </c>
      <c r="F4" s="4"/>
      <c r="G4" s="4"/>
      <c r="H4" s="4"/>
      <c r="I4" s="4"/>
      <c r="J4" s="4"/>
      <c r="K4" s="4"/>
      <c r="L4" s="4"/>
    </row>
    <row r="5" spans="2:12" x14ac:dyDescent="0.3">
      <c r="B5" s="4"/>
      <c r="C5" s="4" t="s">
        <v>30</v>
      </c>
      <c r="D5" s="4" t="s">
        <v>31</v>
      </c>
      <c r="E5" s="4">
        <v>-0.5</v>
      </c>
      <c r="F5" s="4">
        <v>-1</v>
      </c>
      <c r="G5" s="4">
        <v>-2</v>
      </c>
      <c r="H5" s="4">
        <v>-3</v>
      </c>
      <c r="I5" s="4">
        <v>-4</v>
      </c>
      <c r="J5" s="4">
        <v>-5</v>
      </c>
      <c r="K5" s="4">
        <v>-6</v>
      </c>
      <c r="L5" s="4">
        <v>-7</v>
      </c>
    </row>
    <row r="6" spans="2:12" x14ac:dyDescent="0.3">
      <c r="B6" s="4" t="s">
        <v>32</v>
      </c>
      <c r="C6" s="4">
        <v>0.14499999999999999</v>
      </c>
      <c r="D6" s="4">
        <v>2.68</v>
      </c>
      <c r="E6" s="4">
        <v>2.8357010149494197</v>
      </c>
      <c r="F6" s="4">
        <v>2.4040701053337434</v>
      </c>
      <c r="G6" s="4">
        <v>1.7279075679823575</v>
      </c>
      <c r="H6" s="4">
        <v>1.2419207563317798</v>
      </c>
      <c r="I6" s="4">
        <v>0.89262133784661368</v>
      </c>
      <c r="J6" s="4">
        <v>0.64156497000056589</v>
      </c>
      <c r="K6" s="4">
        <v>0.46112006657245785</v>
      </c>
      <c r="L6" s="4">
        <v>0.3314266297856015</v>
      </c>
    </row>
    <row r="7" spans="2:12" x14ac:dyDescent="0.3">
      <c r="B7" s="4" t="s">
        <v>33</v>
      </c>
      <c r="C7" s="4">
        <v>0.124</v>
      </c>
      <c r="D7" s="4">
        <v>2.2799999999999998</v>
      </c>
      <c r="E7" s="4">
        <v>2.9853004564272299</v>
      </c>
      <c r="F7" s="4">
        <v>2.7868312486327897</v>
      </c>
      <c r="G7" s="4">
        <v>2.4285996055008576</v>
      </c>
      <c r="H7" s="4">
        <v>2.116416645870649</v>
      </c>
      <c r="I7" s="4">
        <v>1.8443630678242677</v>
      </c>
      <c r="J7" s="4">
        <v>1.6072804627534798</v>
      </c>
      <c r="K7" s="4">
        <v>1.4006735067605378</v>
      </c>
      <c r="L7" s="4">
        <v>1.2206247248099416</v>
      </c>
    </row>
    <row r="8" spans="2:12" x14ac:dyDescent="0.3">
      <c r="B8" s="4" t="s">
        <v>34</v>
      </c>
      <c r="C8" s="4">
        <v>7.4999999999999997E-2</v>
      </c>
      <c r="D8" s="4">
        <v>1.89</v>
      </c>
      <c r="E8" s="4">
        <v>3.87706230777387</v>
      </c>
      <c r="F8" s="4">
        <v>3.8879818939846293</v>
      </c>
      <c r="G8" s="4">
        <v>3.9099134167187564</v>
      </c>
      <c r="H8" s="4">
        <v>3.9319686518832779</v>
      </c>
      <c r="I8" s="4">
        <v>3.9541482973214603</v>
      </c>
      <c r="J8" s="4">
        <v>3.976453054812997</v>
      </c>
      <c r="K8" s="4">
        <v>3.9988836300962167</v>
      </c>
      <c r="L8" s="4">
        <v>4.0214407328904116</v>
      </c>
    </row>
    <row r="9" spans="2:12" x14ac:dyDescent="0.3">
      <c r="B9" s="4" t="s">
        <v>35</v>
      </c>
      <c r="C9" s="4">
        <v>3.5999999999999997E-2</v>
      </c>
      <c r="D9" s="4">
        <v>1.56</v>
      </c>
      <c r="E9" s="4">
        <v>5.4611482944982868</v>
      </c>
      <c r="F9" s="4">
        <v>5.7176568393371046</v>
      </c>
      <c r="G9" s="4">
        <v>6.2673842211787134</v>
      </c>
      <c r="H9" s="4">
        <v>6.8699654560650378</v>
      </c>
      <c r="I9" s="4">
        <v>7.5304822078788414</v>
      </c>
      <c r="J9" s="4">
        <v>8.2545047199787476</v>
      </c>
      <c r="K9" s="4">
        <v>9.0481387899519312</v>
      </c>
      <c r="L9" s="4">
        <v>9.9180772607812617</v>
      </c>
    </row>
    <row r="10" spans="2:12" x14ac:dyDescent="0.3">
      <c r="B10" s="4" t="s">
        <v>36</v>
      </c>
      <c r="C10" s="4">
        <v>1.6E-2</v>
      </c>
      <c r="D10" s="4">
        <v>1.37</v>
      </c>
      <c r="E10" s="4">
        <v>7.9214505634124022</v>
      </c>
      <c r="F10" s="4">
        <v>8.1774007304273937</v>
      </c>
      <c r="G10" s="4">
        <v>8.7143783117674918</v>
      </c>
      <c r="H10" s="4">
        <v>9.2866170882437071</v>
      </c>
      <c r="I10" s="4">
        <v>9.8964325231558821</v>
      </c>
      <c r="J10" s="4">
        <v>10.546292127125904</v>
      </c>
      <c r="K10" s="4">
        <v>11.238825442444329</v>
      </c>
      <c r="L10" s="4">
        <v>11.97683468304955</v>
      </c>
    </row>
    <row r="11" spans="2:12" x14ac:dyDescent="0.3">
      <c r="B11" s="4" t="s">
        <v>37</v>
      </c>
      <c r="C11" s="4">
        <v>0.02</v>
      </c>
      <c r="D11" s="4">
        <v>1.41</v>
      </c>
      <c r="E11" s="4">
        <v>7.1020760718645972</v>
      </c>
      <c r="F11" s="4">
        <v>7.3679325598285272</v>
      </c>
      <c r="G11" s="4">
        <v>7.9298739944638355</v>
      </c>
      <c r="H11" s="4">
        <v>8.5346738800140809</v>
      </c>
      <c r="I11" s="4">
        <v>9.1856009678145725</v>
      </c>
      <c r="J11" s="4">
        <v>9.8861733120817039</v>
      </c>
      <c r="K11" s="4">
        <v>10.640177283878884</v>
      </c>
      <c r="L11" s="4">
        <v>11.45168803524983</v>
      </c>
    </row>
    <row r="12" spans="2:12" x14ac:dyDescent="0.3">
      <c r="B12" s="4" t="s">
        <v>38</v>
      </c>
      <c r="C12" s="4">
        <v>5.8999999999999997E-2</v>
      </c>
      <c r="D12" s="4">
        <v>1.48</v>
      </c>
      <c r="E12" s="4">
        <v>3.2106643745312913</v>
      </c>
      <c r="F12" s="4">
        <v>3.5233170371491584</v>
      </c>
      <c r="G12" s="4">
        <v>4.242924983427395</v>
      </c>
      <c r="H12" s="4">
        <v>5.109506815645168</v>
      </c>
      <c r="I12" s="4">
        <v>6.1530807169810906</v>
      </c>
      <c r="J12" s="4">
        <v>7.4097958326930957</v>
      </c>
      <c r="K12" s="4">
        <v>8.9231844676879621</v>
      </c>
      <c r="L12" s="4">
        <v>10.745670034939218</v>
      </c>
    </row>
    <row r="13" spans="2:12" x14ac:dyDescent="0.3">
      <c r="B13" s="4" t="s">
        <v>39</v>
      </c>
      <c r="C13" s="4">
        <v>1.9E-2</v>
      </c>
      <c r="D13" s="4">
        <v>1.31</v>
      </c>
      <c r="E13" s="4">
        <v>5.8575348676788286</v>
      </c>
      <c r="F13" s="4">
        <v>6.1090198565416012</v>
      </c>
      <c r="G13" s="4">
        <v>6.6448448535023497</v>
      </c>
      <c r="H13" s="4">
        <v>7.2276673122671458</v>
      </c>
      <c r="I13" s="4">
        <v>7.861609402254274</v>
      </c>
      <c r="J13" s="4">
        <v>8.5511548502951307</v>
      </c>
      <c r="K13" s="4">
        <v>9.3011806530045309</v>
      </c>
      <c r="L13" s="4">
        <v>10.116991570657845</v>
      </c>
    </row>
    <row r="14" spans="2:12" x14ac:dyDescent="0.3">
      <c r="B14" s="4" t="s">
        <v>40</v>
      </c>
      <c r="C14" s="4">
        <v>0.01</v>
      </c>
      <c r="D14" s="4">
        <v>1.23</v>
      </c>
      <c r="E14" s="4">
        <v>7.8932265043773198</v>
      </c>
      <c r="F14" s="4">
        <v>8.0940561784523766</v>
      </c>
      <c r="G14" s="4">
        <v>8.5111748406088612</v>
      </c>
      <c r="H14" s="4">
        <v>8.9497892737957496</v>
      </c>
      <c r="I14" s="4">
        <v>9.4110072399381526</v>
      </c>
      <c r="J14" s="4">
        <v>9.8959935883055259</v>
      </c>
      <c r="K14" s="4">
        <v>10.405973197447851</v>
      </c>
      <c r="L14" s="4">
        <v>10.942234068741389</v>
      </c>
    </row>
    <row r="15" spans="2:12" x14ac:dyDescent="0.3">
      <c r="B15" s="4" t="s">
        <v>41</v>
      </c>
      <c r="C15" s="4">
        <v>2.7E-2</v>
      </c>
      <c r="D15" s="4">
        <v>1.23</v>
      </c>
      <c r="E15" s="4">
        <v>3.3362865388312213</v>
      </c>
      <c r="F15" s="4">
        <v>3.5704651225833928</v>
      </c>
      <c r="G15" s="4">
        <v>4.0892880080642087</v>
      </c>
      <c r="H15" s="4">
        <v>4.6835008433854775</v>
      </c>
      <c r="I15" s="4">
        <v>5.3640585125663893</v>
      </c>
      <c r="J15" s="4">
        <v>6.1435077495229482</v>
      </c>
      <c r="K15" s="4">
        <v>7.0362184491516393</v>
      </c>
      <c r="L15" s="4">
        <v>8.0586485901358689</v>
      </c>
    </row>
    <row r="16" spans="2:12" x14ac:dyDescent="0.3">
      <c r="B16" s="4" t="s">
        <v>42</v>
      </c>
      <c r="C16" s="4">
        <v>5.0000000000000001E-3</v>
      </c>
      <c r="D16" s="4">
        <v>1.0900000000000001</v>
      </c>
      <c r="E16" s="4">
        <v>6.0763184467347093</v>
      </c>
      <c r="F16" s="4">
        <v>6.1693068766471972</v>
      </c>
      <c r="G16" s="4">
        <v>6.3595746357784284</v>
      </c>
      <c r="H16" s="4">
        <v>6.5557104479808839</v>
      </c>
      <c r="I16" s="4">
        <v>6.7578952900369824</v>
      </c>
      <c r="J16" s="4">
        <v>6.9663157202389634</v>
      </c>
      <c r="K16" s="4">
        <v>7.18116405052836</v>
      </c>
      <c r="L16" s="4">
        <v>7.4026385239444643</v>
      </c>
    </row>
    <row r="17" spans="2:12" x14ac:dyDescent="0.3">
      <c r="B17" s="4" t="s">
        <v>43</v>
      </c>
      <c r="C17" s="4">
        <v>8.0000000000000002E-3</v>
      </c>
      <c r="D17" s="4">
        <v>1.0900000000000001</v>
      </c>
      <c r="E17" s="4">
        <v>3.9980557935053689</v>
      </c>
      <c r="F17" s="4">
        <v>4.0963985749270293</v>
      </c>
      <c r="G17" s="4">
        <v>4.3004006437953715</v>
      </c>
      <c r="H17" s="4">
        <v>4.51456208640173</v>
      </c>
      <c r="I17" s="4">
        <v>4.7393888430795599</v>
      </c>
      <c r="J17" s="4">
        <v>4.9754120501662848</v>
      </c>
      <c r="K17" s="4">
        <v>5.223189294773027</v>
      </c>
      <c r="L17" s="4">
        <v>5.4833059320423017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Kns</vt:lpstr>
      <vt:lpstr>Tabla_Valores_Textura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cordero jimenez</dc:creator>
  <cp:lastModifiedBy>Jimmy C</cp:lastModifiedBy>
  <dcterms:created xsi:type="dcterms:W3CDTF">2025-03-26T20:34:03Z</dcterms:created>
  <dcterms:modified xsi:type="dcterms:W3CDTF">2025-08-14T13:28:37Z</dcterms:modified>
</cp:coreProperties>
</file>